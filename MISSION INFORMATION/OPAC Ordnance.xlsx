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-120" yWindow="-120" windowWidth="29040" windowHeight="15720"/>
  </bookViews>
  <sheets>
    <sheet name="D9 -&gt;" sheetId="2" r:id="rId1"/>
    <sheet name="D1-D8" sheetId="1" r:id="rId2"/>
    <sheet name="Ark3" sheetId="3" r:id="rId3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2"/>
  <c r="T18"/>
  <c r="T17"/>
  <c r="T16"/>
  <c r="T15"/>
  <c r="T14"/>
  <c r="T13"/>
  <c r="T12"/>
  <c r="T11"/>
  <c r="T10"/>
  <c r="T9"/>
  <c r="T8"/>
  <c r="T7"/>
  <c r="T6"/>
  <c r="T5"/>
  <c r="T4"/>
  <c r="V14" i="1"/>
  <c r="V4"/>
  <c r="V5"/>
  <c r="V6"/>
  <c r="V7"/>
  <c r="V8"/>
  <c r="V9"/>
  <c r="V10"/>
  <c r="V11"/>
  <c r="V13"/>
  <c r="V15"/>
  <c r="V16"/>
  <c r="V17"/>
  <c r="V18"/>
  <c r="V19"/>
  <c r="V12"/>
</calcChain>
</file>

<file path=xl/sharedStrings.xml><?xml version="1.0" encoding="utf-8"?>
<sst xmlns="http://schemas.openxmlformats.org/spreadsheetml/2006/main" count="112" uniqueCount="49">
  <si>
    <t>D0</t>
  </si>
  <si>
    <t>Current inventory</t>
  </si>
  <si>
    <t>D1.1</t>
  </si>
  <si>
    <t>D1.2</t>
  </si>
  <si>
    <t>F/A-18</t>
  </si>
  <si>
    <t>F/A-18, F-16</t>
  </si>
  <si>
    <t>F/A-18, F-16, A-10</t>
  </si>
  <si>
    <t>F/A-18, F-16,F-14, A-10</t>
  </si>
  <si>
    <t>F/A-18, F-16, F-14, A-10</t>
  </si>
  <si>
    <t>F/A-18, F-14</t>
  </si>
  <si>
    <t>A-10</t>
  </si>
  <si>
    <t>D2.1</t>
  </si>
  <si>
    <t>D2.2</t>
  </si>
  <si>
    <t>D3.2</t>
  </si>
  <si>
    <t>D3.1</t>
  </si>
  <si>
    <t>D4.1</t>
  </si>
  <si>
    <t>D4.2</t>
  </si>
  <si>
    <t>D5.1</t>
  </si>
  <si>
    <t>D5.2</t>
  </si>
  <si>
    <t>D6.1</t>
  </si>
  <si>
    <t>D6.2</t>
  </si>
  <si>
    <t>D7.1</t>
  </si>
  <si>
    <t>D7.2</t>
  </si>
  <si>
    <t>CURRENT AS OF:</t>
  </si>
  <si>
    <t>WEAPON</t>
  </si>
  <si>
    <t>USED BY:</t>
  </si>
  <si>
    <t>Campaign start</t>
  </si>
  <si>
    <t>AGM-84D (Harpoon)</t>
  </si>
  <si>
    <t>AGM-84E (SLAM)</t>
  </si>
  <si>
    <t>AGM-84H (SLAM ER)</t>
  </si>
  <si>
    <t>AGM-154A</t>
  </si>
  <si>
    <t>AGM-154C</t>
  </si>
  <si>
    <t>GBU-31</t>
  </si>
  <si>
    <t>GBU-32</t>
  </si>
  <si>
    <t xml:space="preserve"> GBU-38</t>
  </si>
  <si>
    <t>GBU-10</t>
  </si>
  <si>
    <t>GBU-12</t>
  </si>
  <si>
    <t>GBU-16</t>
  </si>
  <si>
    <t>GBU-24</t>
  </si>
  <si>
    <t xml:space="preserve">GBU-31(V) 3/B </t>
  </si>
  <si>
    <t>F/A-18, F-16, F-14</t>
  </si>
  <si>
    <t>AGM-65 (all types)</t>
  </si>
  <si>
    <t>Fuel tanks (all types)</t>
  </si>
  <si>
    <t>ADDED D7</t>
  </si>
  <si>
    <t>ADDED DX</t>
  </si>
  <si>
    <t xml:space="preserve"> GBU-54</t>
  </si>
  <si>
    <t>D8.1</t>
  </si>
  <si>
    <t>D8.2</t>
  </si>
  <si>
    <t xml:space="preserve">    Ordnance 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</si>
</sst>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Arial"/>
      <family val="2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left" indent="5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5" xfId="0" applyFill="1" applyBorder="1"/>
    <xf numFmtId="0" fontId="0" fillId="2" borderId="7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2" borderId="5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0" fillId="2" borderId="10" xfId="0" applyFill="1" applyBorder="1"/>
    <xf numFmtId="0" fontId="1" fillId="2" borderId="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0" fillId="2" borderId="9" xfId="0" applyFill="1" applyBorder="1"/>
    <xf numFmtId="0" fontId="0" fillId="0" borderId="18" xfId="0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0" borderId="18" xfId="0" applyFill="1" applyBorder="1" applyAlignment="1"/>
    <xf numFmtId="0" fontId="0" fillId="0" borderId="13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Fill="1" applyBorder="1" applyAlignment="1"/>
    <xf numFmtId="0" fontId="0" fillId="2" borderId="19" xfId="0" applyFill="1" applyBorder="1" applyAlignment="1">
      <alignment textRotation="90"/>
    </xf>
    <xf numFmtId="0" fontId="0" fillId="2" borderId="0" xfId="0" applyFill="1" applyBorder="1"/>
    <xf numFmtId="0" fontId="0" fillId="3" borderId="17" xfId="0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6" fillId="2" borderId="3" xfId="0" applyFont="1" applyFill="1" applyBorder="1"/>
    <xf numFmtId="0" fontId="6" fillId="2" borderId="0" xfId="0" applyFont="1" applyFill="1" applyBorder="1"/>
    <xf numFmtId="0" fontId="7" fillId="2" borderId="5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6" fillId="2" borderId="5" xfId="0" applyFont="1" applyFill="1" applyBorder="1"/>
    <xf numFmtId="0" fontId="6" fillId="2" borderId="9" xfId="0" applyFont="1" applyFill="1" applyBorder="1"/>
    <xf numFmtId="0" fontId="6" fillId="0" borderId="1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8" fillId="4" borderId="13" xfId="0" applyFont="1" applyFill="1" applyBorder="1" applyAlignment="1">
      <alignment horizontal="center"/>
    </xf>
    <xf numFmtId="0" fontId="6" fillId="3" borderId="13" xfId="0" applyFont="1" applyFill="1" applyBorder="1" applyAlignment="1">
      <alignment horizontal="center"/>
    </xf>
    <xf numFmtId="0" fontId="6" fillId="3" borderId="18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6" fillId="0" borderId="13" xfId="0" applyFont="1" applyFill="1" applyBorder="1" applyAlignment="1">
      <alignment horizontal="center"/>
    </xf>
    <xf numFmtId="0" fontId="6" fillId="0" borderId="18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0" xfId="0" applyFont="1" applyFill="1" applyBorder="1"/>
    <xf numFmtId="0" fontId="6" fillId="3" borderId="14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8" fillId="4" borderId="14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textRotation="90"/>
    </xf>
    <xf numFmtId="0" fontId="7" fillId="2" borderId="0" xfId="0" applyFont="1" applyFill="1" applyBorder="1" applyAlignment="1">
      <alignment horizontal="center" textRotation="90"/>
    </xf>
    <xf numFmtId="0" fontId="6" fillId="2" borderId="1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textRotation="90"/>
    </xf>
    <xf numFmtId="0" fontId="6" fillId="2" borderId="21" xfId="0" applyFont="1" applyFill="1" applyBorder="1" applyAlignment="1">
      <alignment horizontal="center" textRotation="90"/>
    </xf>
    <xf numFmtId="0" fontId="3" fillId="0" borderId="1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textRotation="90"/>
    </xf>
    <xf numFmtId="0" fontId="0" fillId="2" borderId="0" xfId="0" applyFill="1" applyBorder="1" applyAlignment="1">
      <alignment horizontal="center" textRotation="90"/>
    </xf>
    <xf numFmtId="0" fontId="0" fillId="2" borderId="1" xfId="0" applyFill="1" applyBorder="1" applyAlignment="1">
      <alignment horizontal="center" textRotation="90"/>
    </xf>
    <xf numFmtId="0" fontId="1" fillId="2" borderId="1" xfId="0" applyFont="1" applyFill="1" applyBorder="1" applyAlignment="1">
      <alignment horizontal="center" textRotation="9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19</xdr:row>
      <xdr:rowOff>142875</xdr:rowOff>
    </xdr:from>
    <xdr:to>
      <xdr:col>19</xdr:col>
      <xdr:colOff>847724</xdr:colOff>
      <xdr:row>29</xdr:row>
      <xdr:rowOff>133350</xdr:rowOff>
    </xdr:to>
    <xdr:sp macro="" textlink="">
      <xdr:nvSpPr>
        <xdr:cNvPr id="2" name="TekstSylinder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 txBox="1"/>
      </xdr:nvSpPr>
      <xdr:spPr>
        <a:xfrm>
          <a:off x="76200" y="4095750"/>
          <a:ext cx="9372599" cy="189547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</a:p>
        <a:p>
          <a:endParaRPr lang="en-US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57150</xdr:colOff>
      <xdr:row>0</xdr:row>
      <xdr:rowOff>47625</xdr:rowOff>
    </xdr:from>
    <xdr:to>
      <xdr:col>0</xdr:col>
      <xdr:colOff>725024</xdr:colOff>
      <xdr:row>1</xdr:row>
      <xdr:rowOff>467301</xdr:rowOff>
    </xdr:to>
    <xdr:pic>
      <xdr:nvPicPr>
        <xdr:cNvPr id="3" name="Bilde 2" descr="CJTF-23 logo.png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47625"/>
          <a:ext cx="667874" cy="610176"/>
        </a:xfrm>
        <a:prstGeom prst="rect">
          <a:avLst/>
        </a:prstGeom>
      </xdr:spPr>
    </xdr:pic>
    <xdr:clientData/>
  </xdr:twoCellAnchor>
  <xdr:twoCellAnchor editAs="oneCell">
    <xdr:from>
      <xdr:col>12</xdr:col>
      <xdr:colOff>22739</xdr:colOff>
      <xdr:row>0</xdr:row>
      <xdr:rowOff>47626</xdr:rowOff>
    </xdr:from>
    <xdr:to>
      <xdr:col>13</xdr:col>
      <xdr:colOff>285751</xdr:colOff>
      <xdr:row>1</xdr:row>
      <xdr:rowOff>428102</xdr:rowOff>
    </xdr:to>
    <xdr:pic>
      <xdr:nvPicPr>
        <xdr:cNvPr id="4" name="Bilde 3" descr="JFACC symbol.png"/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75839" y="47626"/>
          <a:ext cx="605912" cy="570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304799</xdr:colOff>
      <xdr:row>20</xdr:row>
      <xdr:rowOff>123825</xdr:rowOff>
    </xdr:from>
    <xdr:to>
      <xdr:col>21</xdr:col>
      <xdr:colOff>828674</xdr:colOff>
      <xdr:row>32</xdr:row>
      <xdr:rowOff>19050</xdr:rowOff>
    </xdr:to>
    <xdr:sp macro="" textlink="">
      <xdr:nvSpPr>
        <xdr:cNvPr id="2" name="TekstSylinder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 txBox="1"/>
      </xdr:nvSpPr>
      <xdr:spPr>
        <a:xfrm>
          <a:off x="304799" y="3952875"/>
          <a:ext cx="8429625" cy="2181225"/>
        </a:xfrm>
        <a:prstGeom prst="rect">
          <a:avLst/>
        </a:prstGeom>
        <a:solidFill>
          <a:schemeClr val="lt1"/>
        </a:solidFill>
        <a:ln w="2540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nb-NO" sz="1400" b="1"/>
            <a:t>NOTES: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All other ordnance is unlimited.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Request for specific ordnance can be forwarded to CJTF HQ (Mission designer). Depending on the situation, expect between 1-6 events from ordnance is requested until it is available.</a:t>
          </a:r>
          <a:endParaRPr lang="nb-NO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3"/>
  <sheetViews>
    <sheetView tabSelected="1" workbookViewId="0">
      <selection activeCell="L11" sqref="L11"/>
    </sheetView>
  </sheetViews>
  <sheetFormatPr baseColWidth="10" defaultRowHeight="15"/>
  <cols>
    <col min="1" max="1" width="18.28515625" customWidth="1"/>
    <col min="2" max="2" width="19.140625" customWidth="1"/>
    <col min="3" max="3" width="5" bestFit="1" customWidth="1"/>
    <col min="4" max="5" width="4" customWidth="1"/>
    <col min="6" max="7" width="5.28515625" customWidth="1"/>
    <col min="8" max="8" width="4.7109375" customWidth="1"/>
    <col min="9" max="9" width="4.85546875" customWidth="1"/>
    <col min="10" max="10" width="5.28515625" customWidth="1"/>
    <col min="11" max="11" width="5.140625" customWidth="1"/>
    <col min="12" max="12" width="5.28515625" customWidth="1"/>
    <col min="13" max="13" width="5.140625" customWidth="1"/>
    <col min="14" max="14" width="5.28515625" customWidth="1"/>
    <col min="15" max="15" width="5" customWidth="1"/>
    <col min="16" max="16" width="4.85546875" customWidth="1"/>
    <col min="17" max="17" width="5.140625" customWidth="1"/>
    <col min="18" max="18" width="5.28515625" customWidth="1"/>
    <col min="19" max="19" width="4.5703125" customWidth="1"/>
    <col min="20" max="20" width="14.42578125" customWidth="1"/>
  </cols>
  <sheetData>
    <row r="1" spans="1:20" ht="15" customHeight="1">
      <c r="A1" s="74" t="s">
        <v>48</v>
      </c>
      <c r="B1" s="75"/>
      <c r="C1" s="78"/>
      <c r="D1" s="39"/>
      <c r="E1" s="39"/>
      <c r="F1" s="39"/>
      <c r="G1" s="39"/>
      <c r="H1" s="39"/>
      <c r="I1" s="39"/>
      <c r="J1" s="82"/>
      <c r="K1" s="39"/>
      <c r="L1" s="39"/>
      <c r="M1" s="39"/>
      <c r="N1" s="39"/>
      <c r="O1" s="80" t="s">
        <v>23</v>
      </c>
      <c r="P1" s="80"/>
      <c r="Q1" s="80"/>
      <c r="R1" s="80"/>
      <c r="S1" s="80"/>
      <c r="T1" s="72" t="s">
        <v>13</v>
      </c>
    </row>
    <row r="2" spans="1:20" ht="39.75" customHeight="1">
      <c r="A2" s="76"/>
      <c r="B2" s="77"/>
      <c r="C2" s="79"/>
      <c r="D2" s="40"/>
      <c r="E2" s="40"/>
      <c r="F2" s="40"/>
      <c r="G2" s="40"/>
      <c r="H2" s="40"/>
      <c r="I2" s="40"/>
      <c r="J2" s="83"/>
      <c r="K2" s="40"/>
      <c r="L2" s="40"/>
      <c r="M2" s="40"/>
      <c r="N2" s="40"/>
      <c r="O2" s="81"/>
      <c r="P2" s="81"/>
      <c r="Q2" s="81"/>
      <c r="R2" s="81"/>
      <c r="S2" s="81"/>
      <c r="T2" s="73"/>
    </row>
    <row r="3" spans="1:20" ht="15.75" thickBot="1">
      <c r="A3" s="41" t="s">
        <v>24</v>
      </c>
      <c r="B3" s="42" t="s">
        <v>25</v>
      </c>
      <c r="C3" s="43" t="s">
        <v>0</v>
      </c>
      <c r="D3" s="44" t="s">
        <v>2</v>
      </c>
      <c r="E3" s="45" t="s">
        <v>3</v>
      </c>
      <c r="F3" s="45" t="s">
        <v>11</v>
      </c>
      <c r="G3" s="45" t="s">
        <v>12</v>
      </c>
      <c r="H3" s="45" t="s">
        <v>14</v>
      </c>
      <c r="I3" s="45" t="s">
        <v>13</v>
      </c>
      <c r="J3" s="45" t="s">
        <v>15</v>
      </c>
      <c r="K3" s="45" t="s">
        <v>16</v>
      </c>
      <c r="L3" s="45" t="s">
        <v>17</v>
      </c>
      <c r="M3" s="45" t="s">
        <v>18</v>
      </c>
      <c r="N3" s="45" t="s">
        <v>19</v>
      </c>
      <c r="O3" s="45" t="s">
        <v>20</v>
      </c>
      <c r="P3" s="45" t="s">
        <v>21</v>
      </c>
      <c r="Q3" s="45" t="s">
        <v>22</v>
      </c>
      <c r="R3" s="45" t="s">
        <v>46</v>
      </c>
      <c r="S3" s="45" t="s">
        <v>47</v>
      </c>
      <c r="T3" s="46" t="s">
        <v>1</v>
      </c>
    </row>
    <row r="4" spans="1:20">
      <c r="A4" s="47" t="s">
        <v>27</v>
      </c>
      <c r="B4" s="48" t="s">
        <v>4</v>
      </c>
      <c r="C4" s="49">
        <v>50</v>
      </c>
      <c r="D4" s="50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2"/>
      <c r="R4" s="52"/>
      <c r="S4" s="52"/>
      <c r="T4" s="53">
        <f t="shared" ref="T4:T19" si="0">SUM(C4:C4)-SUM(D4:S4)</f>
        <v>50</v>
      </c>
    </row>
    <row r="5" spans="1:20">
      <c r="A5" s="47" t="s">
        <v>28</v>
      </c>
      <c r="B5" s="48" t="s">
        <v>4</v>
      </c>
      <c r="C5" s="54">
        <v>10</v>
      </c>
      <c r="D5" s="55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7"/>
      <c r="R5" s="57"/>
      <c r="S5" s="57"/>
      <c r="T5" s="53">
        <f t="shared" si="0"/>
        <v>10</v>
      </c>
    </row>
    <row r="6" spans="1:20">
      <c r="A6" s="47" t="s">
        <v>29</v>
      </c>
      <c r="B6" s="48" t="s">
        <v>4</v>
      </c>
      <c r="C6" s="58">
        <v>6</v>
      </c>
      <c r="D6" s="50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2"/>
      <c r="R6" s="52"/>
      <c r="S6" s="52"/>
      <c r="T6" s="53">
        <f t="shared" si="0"/>
        <v>6</v>
      </c>
    </row>
    <row r="7" spans="1:20">
      <c r="A7" s="47" t="s">
        <v>30</v>
      </c>
      <c r="B7" s="48" t="s">
        <v>5</v>
      </c>
      <c r="C7" s="54">
        <v>15</v>
      </c>
      <c r="D7" s="55">
        <v>3</v>
      </c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7"/>
      <c r="R7" s="57"/>
      <c r="S7" s="57"/>
      <c r="T7" s="53">
        <f t="shared" si="0"/>
        <v>12</v>
      </c>
    </row>
    <row r="8" spans="1:20">
      <c r="A8" s="47" t="s">
        <v>31</v>
      </c>
      <c r="B8" s="48" t="s">
        <v>4</v>
      </c>
      <c r="C8" s="58">
        <v>6</v>
      </c>
      <c r="D8" s="50"/>
      <c r="E8" s="51"/>
      <c r="F8" s="51"/>
      <c r="G8" s="51"/>
      <c r="H8" s="51"/>
      <c r="I8" s="51"/>
      <c r="J8" s="51"/>
      <c r="K8" s="51"/>
      <c r="L8" s="59"/>
      <c r="M8" s="51"/>
      <c r="N8" s="51"/>
      <c r="O8" s="51"/>
      <c r="P8" s="51"/>
      <c r="Q8" s="52"/>
      <c r="R8" s="52"/>
      <c r="S8" s="52"/>
      <c r="T8" s="71">
        <f t="shared" si="0"/>
        <v>6</v>
      </c>
    </row>
    <row r="9" spans="1:20">
      <c r="A9" s="47" t="s">
        <v>39</v>
      </c>
      <c r="B9" s="48" t="s">
        <v>6</v>
      </c>
      <c r="C9" s="54">
        <v>10</v>
      </c>
      <c r="D9" s="55"/>
      <c r="E9" s="56"/>
      <c r="F9" s="56"/>
      <c r="G9" s="56"/>
      <c r="H9" s="56"/>
      <c r="I9" s="56"/>
      <c r="J9" s="56"/>
      <c r="K9" s="56"/>
      <c r="L9" s="60"/>
      <c r="M9" s="56"/>
      <c r="N9" s="56"/>
      <c r="O9" s="56"/>
      <c r="P9" s="56"/>
      <c r="Q9" s="57"/>
      <c r="R9" s="57"/>
      <c r="S9" s="57"/>
      <c r="T9" s="71">
        <f t="shared" si="0"/>
        <v>10</v>
      </c>
    </row>
    <row r="10" spans="1:20">
      <c r="A10" s="47" t="s">
        <v>32</v>
      </c>
      <c r="B10" s="48" t="s">
        <v>6</v>
      </c>
      <c r="C10" s="58">
        <v>20</v>
      </c>
      <c r="D10" s="50">
        <v>1</v>
      </c>
      <c r="E10" s="51">
        <v>4</v>
      </c>
      <c r="F10" s="51"/>
      <c r="G10" s="51"/>
      <c r="H10" s="51"/>
      <c r="I10" s="51"/>
      <c r="J10" s="51"/>
      <c r="K10" s="51"/>
      <c r="L10" s="59"/>
      <c r="M10" s="51"/>
      <c r="N10" s="51"/>
      <c r="O10" s="51"/>
      <c r="P10" s="51"/>
      <c r="Q10" s="52"/>
      <c r="R10" s="52"/>
      <c r="S10" s="52"/>
      <c r="T10" s="71">
        <f t="shared" si="0"/>
        <v>15</v>
      </c>
    </row>
    <row r="11" spans="1:20">
      <c r="A11" s="47" t="s">
        <v>33</v>
      </c>
      <c r="B11" s="48" t="s">
        <v>4</v>
      </c>
      <c r="C11" s="54">
        <v>15</v>
      </c>
      <c r="D11" s="55"/>
      <c r="E11" s="56">
        <v>2</v>
      </c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7"/>
      <c r="R11" s="57"/>
      <c r="S11" s="57"/>
      <c r="T11" s="71">
        <f t="shared" si="0"/>
        <v>13</v>
      </c>
    </row>
    <row r="12" spans="1:20">
      <c r="A12" s="47" t="s">
        <v>34</v>
      </c>
      <c r="B12" s="48" t="s">
        <v>6</v>
      </c>
      <c r="C12" s="58">
        <v>50</v>
      </c>
      <c r="D12" s="50"/>
      <c r="E12" s="51">
        <v>4</v>
      </c>
      <c r="F12" s="51">
        <v>9</v>
      </c>
      <c r="G12" s="51">
        <v>1</v>
      </c>
      <c r="H12" s="51">
        <v>2</v>
      </c>
      <c r="I12" s="51"/>
      <c r="J12" s="51"/>
      <c r="K12" s="51"/>
      <c r="L12" s="59"/>
      <c r="M12" s="51"/>
      <c r="N12" s="51"/>
      <c r="O12" s="51"/>
      <c r="P12" s="51"/>
      <c r="Q12" s="52"/>
      <c r="R12" s="52"/>
      <c r="S12" s="52"/>
      <c r="T12" s="71">
        <f t="shared" si="0"/>
        <v>34</v>
      </c>
    </row>
    <row r="13" spans="1:20">
      <c r="A13" s="47" t="s">
        <v>45</v>
      </c>
      <c r="B13" s="48" t="s">
        <v>10</v>
      </c>
      <c r="C13" s="54">
        <v>20</v>
      </c>
      <c r="D13" s="55">
        <v>4</v>
      </c>
      <c r="E13" s="56"/>
      <c r="F13" s="56">
        <v>2</v>
      </c>
      <c r="G13" s="56"/>
      <c r="H13" s="56"/>
      <c r="I13" s="56"/>
      <c r="J13" s="56"/>
      <c r="K13" s="56"/>
      <c r="L13" s="60"/>
      <c r="M13" s="56"/>
      <c r="N13" s="56"/>
      <c r="O13" s="56"/>
      <c r="P13" s="56"/>
      <c r="Q13" s="57"/>
      <c r="R13" s="57"/>
      <c r="S13" s="57"/>
      <c r="T13" s="71">
        <f t="shared" si="0"/>
        <v>14</v>
      </c>
    </row>
    <row r="14" spans="1:20">
      <c r="A14" s="47" t="s">
        <v>35</v>
      </c>
      <c r="B14" s="48" t="s">
        <v>8</v>
      </c>
      <c r="C14" s="58">
        <v>15</v>
      </c>
      <c r="D14" s="50"/>
      <c r="E14" s="51"/>
      <c r="F14" s="51"/>
      <c r="G14" s="51"/>
      <c r="H14" s="51"/>
      <c r="I14" s="51"/>
      <c r="J14" s="51"/>
      <c r="K14" s="51"/>
      <c r="L14" s="59"/>
      <c r="M14" s="51"/>
      <c r="N14" s="51"/>
      <c r="O14" s="51"/>
      <c r="P14" s="51"/>
      <c r="Q14" s="52"/>
      <c r="R14" s="52"/>
      <c r="S14" s="52"/>
      <c r="T14" s="71">
        <f t="shared" si="0"/>
        <v>15</v>
      </c>
    </row>
    <row r="15" spans="1:20">
      <c r="A15" s="47" t="s">
        <v>36</v>
      </c>
      <c r="B15" s="48" t="s">
        <v>7</v>
      </c>
      <c r="C15" s="54">
        <v>50</v>
      </c>
      <c r="D15" s="55"/>
      <c r="E15" s="56">
        <v>5</v>
      </c>
      <c r="F15" s="56">
        <v>2</v>
      </c>
      <c r="G15" s="56">
        <v>4</v>
      </c>
      <c r="H15" s="56"/>
      <c r="I15" s="56"/>
      <c r="J15" s="56"/>
      <c r="K15" s="56"/>
      <c r="L15" s="56"/>
      <c r="M15" s="56"/>
      <c r="N15" s="56"/>
      <c r="O15" s="56"/>
      <c r="P15" s="56"/>
      <c r="Q15" s="57"/>
      <c r="R15" s="57"/>
      <c r="S15" s="57"/>
      <c r="T15" s="71">
        <f t="shared" si="0"/>
        <v>39</v>
      </c>
    </row>
    <row r="16" spans="1:20">
      <c r="A16" s="47" t="s">
        <v>37</v>
      </c>
      <c r="B16" s="48" t="s">
        <v>9</v>
      </c>
      <c r="C16" s="58">
        <v>0</v>
      </c>
      <c r="D16" s="50"/>
      <c r="E16" s="51"/>
      <c r="F16" s="51"/>
      <c r="G16" s="51"/>
      <c r="H16" s="51"/>
      <c r="I16" s="51"/>
      <c r="J16" s="51"/>
      <c r="K16" s="51"/>
      <c r="L16" s="59"/>
      <c r="M16" s="51"/>
      <c r="N16" s="51"/>
      <c r="O16" s="51"/>
      <c r="P16" s="51"/>
      <c r="Q16" s="52"/>
      <c r="R16" s="52"/>
      <c r="S16" s="52"/>
      <c r="T16" s="71">
        <f t="shared" si="0"/>
        <v>0</v>
      </c>
    </row>
    <row r="17" spans="1:20">
      <c r="A17" s="47" t="s">
        <v>38</v>
      </c>
      <c r="B17" s="48" t="s">
        <v>40</v>
      </c>
      <c r="C17" s="54">
        <v>15</v>
      </c>
      <c r="D17" s="55"/>
      <c r="E17" s="56"/>
      <c r="F17" s="56"/>
      <c r="G17" s="56"/>
      <c r="H17" s="56"/>
      <c r="I17" s="56"/>
      <c r="J17" s="56"/>
      <c r="K17" s="56"/>
      <c r="L17" s="60"/>
      <c r="M17" s="56"/>
      <c r="N17" s="56"/>
      <c r="O17" s="56"/>
      <c r="P17" s="56"/>
      <c r="Q17" s="57"/>
      <c r="R17" s="57"/>
      <c r="S17" s="57"/>
      <c r="T17" s="71">
        <f t="shared" si="0"/>
        <v>15</v>
      </c>
    </row>
    <row r="18" spans="1:20">
      <c r="A18" s="47" t="s">
        <v>41</v>
      </c>
      <c r="B18" s="48" t="s">
        <v>6</v>
      </c>
      <c r="C18" s="61">
        <v>50</v>
      </c>
      <c r="D18" s="62">
        <v>14</v>
      </c>
      <c r="E18" s="51">
        <v>5</v>
      </c>
      <c r="F18" s="51">
        <v>2</v>
      </c>
      <c r="G18" s="51">
        <v>4</v>
      </c>
      <c r="H18" s="51"/>
      <c r="I18" s="51"/>
      <c r="J18" s="51"/>
      <c r="K18" s="51"/>
      <c r="L18" s="51"/>
      <c r="M18" s="51"/>
      <c r="N18" s="51"/>
      <c r="O18" s="51"/>
      <c r="P18" s="51"/>
      <c r="Q18" s="52"/>
      <c r="R18" s="52"/>
      <c r="S18" s="52"/>
      <c r="T18" s="53">
        <f t="shared" si="0"/>
        <v>25</v>
      </c>
    </row>
    <row r="19" spans="1:20" ht="15.75" thickBot="1">
      <c r="A19" s="63" t="s">
        <v>42</v>
      </c>
      <c r="B19" s="64" t="s">
        <v>40</v>
      </c>
      <c r="C19" s="65">
        <v>75</v>
      </c>
      <c r="D19" s="66">
        <v>6</v>
      </c>
      <c r="E19" s="67">
        <v>12</v>
      </c>
      <c r="F19" s="67"/>
      <c r="G19" s="67"/>
      <c r="H19" s="67"/>
      <c r="I19" s="67"/>
      <c r="J19" s="67"/>
      <c r="K19" s="67"/>
      <c r="L19" s="68"/>
      <c r="M19" s="67"/>
      <c r="N19" s="67"/>
      <c r="O19" s="67"/>
      <c r="P19" s="67"/>
      <c r="Q19" s="69"/>
      <c r="R19" s="69"/>
      <c r="S19" s="69"/>
      <c r="T19" s="70">
        <f t="shared" si="0"/>
        <v>57</v>
      </c>
    </row>
    <row r="20" spans="1:20">
      <c r="L20" s="1"/>
    </row>
    <row r="21" spans="1:20">
      <c r="L21" s="1"/>
    </row>
    <row r="22" spans="1:20">
      <c r="L22" s="1"/>
    </row>
    <row r="23" spans="1:20">
      <c r="L23" s="1"/>
    </row>
  </sheetData>
  <mergeCells count="5">
    <mergeCell ref="T1:T2"/>
    <mergeCell ref="A1:B2"/>
    <mergeCell ref="C1:C2"/>
    <mergeCell ref="O1:S2"/>
    <mergeCell ref="J1:J2"/>
  </mergeCells>
  <pageMargins left="0.19685039370078741" right="0.19685039370078741" top="0.19685039370078741" bottom="0.19685039370078741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V23"/>
  <sheetViews>
    <sheetView workbookViewId="0">
      <selection sqref="A1:V33"/>
    </sheetView>
  </sheetViews>
  <sheetFormatPr baseColWidth="10" defaultRowHeight="15"/>
  <cols>
    <col min="1" max="1" width="18.5703125" customWidth="1"/>
    <col min="2" max="2" width="20.85546875" customWidth="1"/>
    <col min="3" max="5" width="5.140625" customWidth="1"/>
    <col min="6" max="6" width="4.5703125" customWidth="1"/>
    <col min="7" max="7" width="4.42578125" customWidth="1"/>
    <col min="8" max="8" width="3.85546875" customWidth="1"/>
    <col min="9" max="11" width="4.5703125" customWidth="1"/>
    <col min="12" max="12" width="4.42578125" customWidth="1"/>
    <col min="13" max="13" width="4.7109375" customWidth="1"/>
    <col min="14" max="14" width="5" customWidth="1"/>
    <col min="15" max="21" width="5.28515625" customWidth="1"/>
    <col min="22" max="22" width="16.140625" customWidth="1"/>
  </cols>
  <sheetData>
    <row r="1" spans="1:22" ht="15" customHeight="1">
      <c r="A1" s="7"/>
      <c r="B1" s="8"/>
      <c r="C1" s="88" t="s">
        <v>26</v>
      </c>
      <c r="D1" s="91" t="s">
        <v>43</v>
      </c>
      <c r="E1" s="90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6" t="s">
        <v>23</v>
      </c>
      <c r="R1" s="86"/>
      <c r="S1" s="86"/>
      <c r="T1" s="86"/>
      <c r="U1" s="86"/>
      <c r="V1" s="84" t="s">
        <v>47</v>
      </c>
    </row>
    <row r="2" spans="1:22" ht="69.75" customHeight="1">
      <c r="A2" s="9"/>
      <c r="B2" s="34"/>
      <c r="C2" s="89"/>
      <c r="D2" s="91"/>
      <c r="E2" s="90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87"/>
      <c r="R2" s="87"/>
      <c r="S2" s="87"/>
      <c r="T2" s="87"/>
      <c r="U2" s="87"/>
      <c r="V2" s="85"/>
    </row>
    <row r="3" spans="1:22" ht="15.75" thickBot="1">
      <c r="A3" s="10" t="s">
        <v>24</v>
      </c>
      <c r="B3" s="21" t="s">
        <v>25</v>
      </c>
      <c r="C3" s="37" t="s">
        <v>0</v>
      </c>
      <c r="D3" s="33"/>
      <c r="E3" s="33"/>
      <c r="F3" s="22" t="s">
        <v>2</v>
      </c>
      <c r="G3" s="2" t="s">
        <v>3</v>
      </c>
      <c r="H3" s="2" t="s">
        <v>11</v>
      </c>
      <c r="I3" s="2" t="s">
        <v>12</v>
      </c>
      <c r="J3" s="2" t="s">
        <v>14</v>
      </c>
      <c r="K3" s="2" t="s">
        <v>13</v>
      </c>
      <c r="L3" s="2" t="s">
        <v>15</v>
      </c>
      <c r="M3" s="2" t="s">
        <v>16</v>
      </c>
      <c r="N3" s="2" t="s">
        <v>17</v>
      </c>
      <c r="O3" s="2" t="s">
        <v>18</v>
      </c>
      <c r="P3" s="2" t="s">
        <v>19</v>
      </c>
      <c r="Q3" s="2" t="s">
        <v>20</v>
      </c>
      <c r="R3" s="2" t="s">
        <v>21</v>
      </c>
      <c r="S3" s="2" t="s">
        <v>22</v>
      </c>
      <c r="T3" s="2" t="s">
        <v>46</v>
      </c>
      <c r="U3" s="2" t="s">
        <v>47</v>
      </c>
      <c r="V3" s="12" t="s">
        <v>1</v>
      </c>
    </row>
    <row r="4" spans="1:22">
      <c r="A4" s="5" t="s">
        <v>27</v>
      </c>
      <c r="B4" s="23" t="s">
        <v>4</v>
      </c>
      <c r="C4" s="31">
        <v>50</v>
      </c>
      <c r="D4" s="31"/>
      <c r="E4" s="31"/>
      <c r="F4" s="24"/>
      <c r="G4" s="3"/>
      <c r="H4" s="3"/>
      <c r="I4" s="3"/>
      <c r="J4" s="3">
        <v>3</v>
      </c>
      <c r="K4" s="3"/>
      <c r="L4" s="3"/>
      <c r="M4" s="3"/>
      <c r="N4" s="3"/>
      <c r="O4" s="3"/>
      <c r="P4" s="3"/>
      <c r="Q4" s="3"/>
      <c r="R4" s="3"/>
      <c r="S4" s="11"/>
      <c r="T4" s="11"/>
      <c r="U4" s="11"/>
      <c r="V4" s="19">
        <f t="shared" ref="V4:V19" si="0">SUM(C4:E4)-SUM(F4:U4)</f>
        <v>47</v>
      </c>
    </row>
    <row r="5" spans="1:22">
      <c r="A5" s="5" t="s">
        <v>28</v>
      </c>
      <c r="B5" s="23" t="s">
        <v>4</v>
      </c>
      <c r="C5" s="28">
        <v>10</v>
      </c>
      <c r="D5" s="28"/>
      <c r="E5" s="28"/>
      <c r="F5" s="25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4"/>
      <c r="T5" s="14"/>
      <c r="U5" s="14"/>
      <c r="V5" s="19">
        <f t="shared" si="0"/>
        <v>10</v>
      </c>
    </row>
    <row r="6" spans="1:22">
      <c r="A6" s="5" t="s">
        <v>29</v>
      </c>
      <c r="B6" s="23" t="s">
        <v>4</v>
      </c>
      <c r="C6" s="27">
        <v>6</v>
      </c>
      <c r="D6" s="27"/>
      <c r="E6" s="27"/>
      <c r="F6" s="24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1"/>
      <c r="T6" s="11"/>
      <c r="U6" s="11"/>
      <c r="V6" s="19">
        <f t="shared" si="0"/>
        <v>6</v>
      </c>
    </row>
    <row r="7" spans="1:22">
      <c r="A7" s="5" t="s">
        <v>30</v>
      </c>
      <c r="B7" s="23" t="s">
        <v>5</v>
      </c>
      <c r="C7" s="28">
        <v>15</v>
      </c>
      <c r="D7" s="28"/>
      <c r="E7" s="28"/>
      <c r="F7" s="25"/>
      <c r="G7" s="13"/>
      <c r="H7" s="13"/>
      <c r="I7" s="13"/>
      <c r="J7" s="13"/>
      <c r="K7" s="13"/>
      <c r="L7" s="13"/>
      <c r="M7" s="13"/>
      <c r="N7" s="13"/>
      <c r="O7" s="13"/>
      <c r="P7" s="13"/>
      <c r="Q7" s="13">
        <v>6</v>
      </c>
      <c r="R7" s="13"/>
      <c r="S7" s="14"/>
      <c r="T7" s="14"/>
      <c r="U7" s="14"/>
      <c r="V7" s="19">
        <f t="shared" si="0"/>
        <v>9</v>
      </c>
    </row>
    <row r="8" spans="1:22">
      <c r="A8" s="5" t="s">
        <v>31</v>
      </c>
      <c r="B8" s="23" t="s">
        <v>4</v>
      </c>
      <c r="C8" s="27">
        <v>6</v>
      </c>
      <c r="D8" s="27"/>
      <c r="E8" s="27"/>
      <c r="F8" s="24"/>
      <c r="G8" s="3"/>
      <c r="H8" s="3"/>
      <c r="I8" s="3"/>
      <c r="J8" s="3"/>
      <c r="K8" s="3"/>
      <c r="L8" s="3"/>
      <c r="M8" s="3"/>
      <c r="N8" s="4"/>
      <c r="O8" s="3"/>
      <c r="P8" s="3"/>
      <c r="Q8" s="3"/>
      <c r="R8" s="3"/>
      <c r="S8" s="11"/>
      <c r="T8" s="11"/>
      <c r="U8" s="11"/>
      <c r="V8" s="19">
        <f t="shared" si="0"/>
        <v>6</v>
      </c>
    </row>
    <row r="9" spans="1:22">
      <c r="A9" s="5" t="s">
        <v>39</v>
      </c>
      <c r="B9" s="23" t="s">
        <v>6</v>
      </c>
      <c r="C9" s="28">
        <v>10</v>
      </c>
      <c r="D9" s="28"/>
      <c r="E9" s="28"/>
      <c r="F9" s="25"/>
      <c r="G9" s="13"/>
      <c r="H9" s="13"/>
      <c r="I9" s="13">
        <v>2</v>
      </c>
      <c r="J9" s="13"/>
      <c r="K9" s="13"/>
      <c r="L9" s="13"/>
      <c r="M9" s="13"/>
      <c r="N9" s="15"/>
      <c r="O9" s="13"/>
      <c r="P9" s="13"/>
      <c r="Q9" s="13"/>
      <c r="R9" s="13"/>
      <c r="S9" s="14"/>
      <c r="T9" s="14">
        <v>2</v>
      </c>
      <c r="U9" s="14"/>
      <c r="V9" s="19">
        <f t="shared" si="0"/>
        <v>6</v>
      </c>
    </row>
    <row r="10" spans="1:22">
      <c r="A10" s="5" t="s">
        <v>32</v>
      </c>
      <c r="B10" s="23" t="s">
        <v>6</v>
      </c>
      <c r="C10" s="27">
        <v>20</v>
      </c>
      <c r="D10" s="27"/>
      <c r="E10" s="27"/>
      <c r="F10" s="24"/>
      <c r="G10" s="3"/>
      <c r="H10" s="3"/>
      <c r="I10" s="3"/>
      <c r="J10" s="3"/>
      <c r="K10" s="3"/>
      <c r="L10" s="3"/>
      <c r="M10" s="3"/>
      <c r="N10" s="4"/>
      <c r="O10" s="3"/>
      <c r="P10" s="3"/>
      <c r="Q10" s="3"/>
      <c r="R10" s="3"/>
      <c r="S10" s="11"/>
      <c r="T10" s="11"/>
      <c r="U10" s="11"/>
      <c r="V10" s="19">
        <f t="shared" si="0"/>
        <v>20</v>
      </c>
    </row>
    <row r="11" spans="1:22">
      <c r="A11" s="5" t="s">
        <v>33</v>
      </c>
      <c r="B11" s="23" t="s">
        <v>4</v>
      </c>
      <c r="C11" s="28">
        <v>15</v>
      </c>
      <c r="D11" s="28"/>
      <c r="E11" s="28"/>
      <c r="F11" s="25"/>
      <c r="G11" s="13"/>
      <c r="H11" s="13"/>
      <c r="I11" s="13"/>
      <c r="J11" s="13"/>
      <c r="K11" s="13"/>
      <c r="L11" s="13"/>
      <c r="M11" s="13"/>
      <c r="N11" s="13">
        <v>6</v>
      </c>
      <c r="O11" s="13"/>
      <c r="P11" s="13"/>
      <c r="Q11" s="13"/>
      <c r="R11" s="13"/>
      <c r="S11" s="14"/>
      <c r="T11" s="14"/>
      <c r="U11" s="14">
        <v>6</v>
      </c>
      <c r="V11" s="38">
        <f t="shared" si="0"/>
        <v>3</v>
      </c>
    </row>
    <row r="12" spans="1:22">
      <c r="A12" s="5" t="s">
        <v>34</v>
      </c>
      <c r="B12" s="23" t="s">
        <v>6</v>
      </c>
      <c r="C12" s="27">
        <v>50</v>
      </c>
      <c r="D12" s="27">
        <v>60</v>
      </c>
      <c r="E12" s="27"/>
      <c r="F12" s="24">
        <v>16</v>
      </c>
      <c r="G12" s="3">
        <v>8</v>
      </c>
      <c r="H12" s="3"/>
      <c r="I12" s="3">
        <v>4</v>
      </c>
      <c r="J12" s="3">
        <v>3</v>
      </c>
      <c r="K12" s="3">
        <v>8</v>
      </c>
      <c r="L12" s="3">
        <v>2</v>
      </c>
      <c r="M12" s="3">
        <v>6</v>
      </c>
      <c r="N12" s="4"/>
      <c r="O12" s="3"/>
      <c r="P12" s="3"/>
      <c r="Q12" s="3"/>
      <c r="R12" s="3">
        <v>7</v>
      </c>
      <c r="S12" s="11">
        <v>4</v>
      </c>
      <c r="T12" s="11"/>
      <c r="U12" s="11">
        <v>12</v>
      </c>
      <c r="V12" s="19">
        <f t="shared" si="0"/>
        <v>40</v>
      </c>
    </row>
    <row r="13" spans="1:22">
      <c r="A13" s="5" t="s">
        <v>45</v>
      </c>
      <c r="B13" s="23" t="s">
        <v>10</v>
      </c>
      <c r="C13" s="28">
        <v>20</v>
      </c>
      <c r="D13" s="28"/>
      <c r="E13" s="28"/>
      <c r="F13" s="25"/>
      <c r="G13" s="13"/>
      <c r="H13" s="13"/>
      <c r="I13" s="13"/>
      <c r="J13" s="13">
        <v>6</v>
      </c>
      <c r="K13" s="13"/>
      <c r="L13" s="13"/>
      <c r="M13" s="13"/>
      <c r="N13" s="15"/>
      <c r="O13" s="13"/>
      <c r="P13" s="13"/>
      <c r="Q13" s="13">
        <v>5</v>
      </c>
      <c r="R13" s="13"/>
      <c r="S13" s="14">
        <v>4</v>
      </c>
      <c r="T13" s="14"/>
      <c r="U13" s="14"/>
      <c r="V13" s="19">
        <f t="shared" si="0"/>
        <v>5</v>
      </c>
    </row>
    <row r="14" spans="1:22">
      <c r="A14" s="5" t="s">
        <v>35</v>
      </c>
      <c r="B14" s="23" t="s">
        <v>8</v>
      </c>
      <c r="C14" s="27">
        <v>15</v>
      </c>
      <c r="D14" s="27"/>
      <c r="E14" s="27"/>
      <c r="F14" s="24"/>
      <c r="G14" s="3"/>
      <c r="H14" s="3"/>
      <c r="I14" s="3"/>
      <c r="J14" s="3"/>
      <c r="K14" s="3">
        <v>8</v>
      </c>
      <c r="L14" s="3"/>
      <c r="M14" s="3">
        <v>4</v>
      </c>
      <c r="N14" s="4"/>
      <c r="O14" s="3"/>
      <c r="P14" s="3"/>
      <c r="Q14" s="3"/>
      <c r="R14" s="3"/>
      <c r="S14" s="11"/>
      <c r="T14" s="11"/>
      <c r="U14" s="11"/>
      <c r="V14" s="38">
        <f t="shared" si="0"/>
        <v>3</v>
      </c>
    </row>
    <row r="15" spans="1:22">
      <c r="A15" s="5" t="s">
        <v>36</v>
      </c>
      <c r="B15" s="23" t="s">
        <v>7</v>
      </c>
      <c r="C15" s="28">
        <v>50</v>
      </c>
      <c r="D15" s="28">
        <v>50</v>
      </c>
      <c r="E15" s="28"/>
      <c r="F15" s="25">
        <v>6</v>
      </c>
      <c r="G15" s="13">
        <v>4</v>
      </c>
      <c r="H15" s="13">
        <v>4</v>
      </c>
      <c r="I15" s="13"/>
      <c r="J15" s="13">
        <v>2</v>
      </c>
      <c r="K15" s="13"/>
      <c r="L15" s="13">
        <v>9</v>
      </c>
      <c r="M15" s="13">
        <v>10</v>
      </c>
      <c r="N15" s="13">
        <v>2</v>
      </c>
      <c r="O15" s="13">
        <v>8</v>
      </c>
      <c r="P15" s="13">
        <v>2</v>
      </c>
      <c r="Q15" s="13">
        <v>1</v>
      </c>
      <c r="R15" s="13"/>
      <c r="S15" s="14">
        <v>2</v>
      </c>
      <c r="T15" s="14"/>
      <c r="U15" s="14">
        <v>3</v>
      </c>
      <c r="V15" s="19">
        <f t="shared" si="0"/>
        <v>47</v>
      </c>
    </row>
    <row r="16" spans="1:22">
      <c r="A16" s="5" t="s">
        <v>37</v>
      </c>
      <c r="B16" s="23" t="s">
        <v>9</v>
      </c>
      <c r="C16" s="27">
        <v>0</v>
      </c>
      <c r="D16" s="27"/>
      <c r="E16" s="27"/>
      <c r="F16" s="24"/>
      <c r="G16" s="3"/>
      <c r="H16" s="3"/>
      <c r="I16" s="3"/>
      <c r="J16" s="3"/>
      <c r="K16" s="3"/>
      <c r="L16" s="3"/>
      <c r="M16" s="3"/>
      <c r="N16" s="4"/>
      <c r="O16" s="3"/>
      <c r="P16" s="3"/>
      <c r="Q16" s="3"/>
      <c r="R16" s="3"/>
      <c r="S16" s="11"/>
      <c r="T16" s="11"/>
      <c r="U16" s="11"/>
      <c r="V16" s="38">
        <f t="shared" si="0"/>
        <v>0</v>
      </c>
    </row>
    <row r="17" spans="1:22">
      <c r="A17" s="5" t="s">
        <v>38</v>
      </c>
      <c r="B17" s="23" t="s">
        <v>40</v>
      </c>
      <c r="C17" s="28">
        <v>15</v>
      </c>
      <c r="D17" s="28"/>
      <c r="E17" s="28"/>
      <c r="F17" s="25"/>
      <c r="G17" s="13">
        <v>5</v>
      </c>
      <c r="H17" s="13"/>
      <c r="I17" s="13"/>
      <c r="J17" s="13"/>
      <c r="K17" s="13"/>
      <c r="L17" s="13"/>
      <c r="M17" s="13"/>
      <c r="N17" s="15"/>
      <c r="O17" s="13"/>
      <c r="P17" s="13"/>
      <c r="Q17" s="13"/>
      <c r="R17" s="13"/>
      <c r="S17" s="14"/>
      <c r="T17" s="14"/>
      <c r="U17" s="14"/>
      <c r="V17" s="19">
        <f t="shared" si="0"/>
        <v>10</v>
      </c>
    </row>
    <row r="18" spans="1:22">
      <c r="A18" s="5" t="s">
        <v>41</v>
      </c>
      <c r="B18" s="23" t="s">
        <v>6</v>
      </c>
      <c r="C18" s="29">
        <v>50</v>
      </c>
      <c r="D18" s="29">
        <v>60</v>
      </c>
      <c r="E18" s="32"/>
      <c r="F18" s="26"/>
      <c r="G18" s="3"/>
      <c r="H18" s="3">
        <v>5</v>
      </c>
      <c r="I18" s="3"/>
      <c r="J18" s="3">
        <v>6</v>
      </c>
      <c r="K18" s="3">
        <v>8</v>
      </c>
      <c r="L18" s="3">
        <v>3</v>
      </c>
      <c r="M18" s="3">
        <v>4</v>
      </c>
      <c r="N18" s="3">
        <v>2</v>
      </c>
      <c r="O18" s="3">
        <v>3</v>
      </c>
      <c r="P18" s="3">
        <v>16</v>
      </c>
      <c r="Q18" s="3">
        <v>2</v>
      </c>
      <c r="R18" s="3">
        <v>2</v>
      </c>
      <c r="S18" s="11">
        <v>9</v>
      </c>
      <c r="T18" s="11">
        <v>2</v>
      </c>
      <c r="U18" s="11">
        <v>6</v>
      </c>
      <c r="V18" s="19">
        <f t="shared" si="0"/>
        <v>42</v>
      </c>
    </row>
    <row r="19" spans="1:22" ht="15.75" thickBot="1">
      <c r="A19" s="6" t="s">
        <v>42</v>
      </c>
      <c r="B19" s="20" t="s">
        <v>40</v>
      </c>
      <c r="C19" s="30">
        <v>50</v>
      </c>
      <c r="D19" s="30">
        <v>30</v>
      </c>
      <c r="E19" s="30"/>
      <c r="F19" s="35"/>
      <c r="G19" s="16"/>
      <c r="H19" s="16"/>
      <c r="I19" s="16"/>
      <c r="J19" s="16">
        <v>8</v>
      </c>
      <c r="K19" s="16">
        <v>2</v>
      </c>
      <c r="L19" s="16">
        <v>4</v>
      </c>
      <c r="M19" s="16">
        <v>6</v>
      </c>
      <c r="N19" s="17"/>
      <c r="O19" s="16"/>
      <c r="P19" s="16"/>
      <c r="Q19" s="16"/>
      <c r="R19" s="16"/>
      <c r="S19" s="18"/>
      <c r="T19" s="18"/>
      <c r="U19" s="18"/>
      <c r="V19" s="36">
        <f t="shared" si="0"/>
        <v>60</v>
      </c>
    </row>
    <row r="20" spans="1:22">
      <c r="N20" s="1"/>
    </row>
    <row r="21" spans="1:22">
      <c r="N21" s="1"/>
    </row>
    <row r="22" spans="1:22">
      <c r="N22" s="1"/>
    </row>
    <row r="23" spans="1:22">
      <c r="N23" s="1"/>
    </row>
  </sheetData>
  <mergeCells count="5">
    <mergeCell ref="V1:V2"/>
    <mergeCell ref="Q1:U2"/>
    <mergeCell ref="C1:C2"/>
    <mergeCell ref="E1:E2"/>
    <mergeCell ref="D1:D2"/>
  </mergeCells>
  <pageMargins left="0" right="0" top="0" bottom="0" header="0" footer="0"/>
  <pageSetup paperSize="9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5"/>
  <sheetData/>
  <pageMargins left="0.7" right="0.7" top="0.78740157499999996" bottom="0.78740157499999996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D9 -&gt;</vt:lpstr>
      <vt:lpstr>D1-D8</vt:lpstr>
      <vt:lpstr>Ark3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OPAC Ordnance</dc:title>
  <dc:subject>OPAC Ordnance</dc:subject>
  <dc:creator/>
  <cp:lastModifiedBy/>
  <dcterms:created xsi:type="dcterms:W3CDTF">2006-09-25T14:53:10Z</dcterms:created>
  <dcterms:modified xsi:type="dcterms:W3CDTF">2025-11-29T21:13:41Z</dcterms:modified>
</cp:coreProperties>
</file>